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L:\home\harriman\Projects\3018-Upgrade\"/>
    </mc:Choice>
  </mc:AlternateContent>
  <xr:revisionPtr revIDLastSave="0" documentId="13_ncr:1_{29F44F56-13E3-476F-B746-052BB6F6CCC4}" xr6:coauthVersionLast="47" xr6:coauthVersionMax="47" xr10:uidLastSave="{00000000-0000-0000-0000-000000000000}"/>
  <bookViews>
    <workbookView xWindow="6105" yWindow="2145" windowWidth="18705" windowHeight="13320" xr2:uid="{8D0DEC91-BEE7-4667-9AD4-F3E61D2675B3}"/>
  </bookViews>
  <sheets>
    <sheet name="Amazon" sheetId="1" r:id="rId1"/>
    <sheet name="VISA Gift Ca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5" i="1"/>
  <c r="B7" i="1" s="1"/>
  <c r="B4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B6" i="1" l="1"/>
</calcChain>
</file>

<file path=xl/sharedStrings.xml><?xml version="1.0" encoding="utf-8"?>
<sst xmlns="http://schemas.openxmlformats.org/spreadsheetml/2006/main" count="61" uniqueCount="48">
  <si>
    <t>Amazon Gift Card Orders</t>
  </si>
  <si>
    <t>Balance</t>
  </si>
  <si>
    <t>Charge</t>
  </si>
  <si>
    <t>Description</t>
  </si>
  <si>
    <t>Order URL</t>
  </si>
  <si>
    <t>Total Gift Cards Added</t>
  </si>
  <si>
    <t>Date</t>
  </si>
  <si>
    <t>Shower Cleaner</t>
  </si>
  <si>
    <t>https://www.amazon.com/gp/your-account/order-details/ref=gcf_b_bp_lpo_c_d_b_x?ie=UTF8&amp;orderID=112-3097017-4278652</t>
  </si>
  <si>
    <t>Balance After Charge</t>
  </si>
  <si>
    <t>Shower Squeegee</t>
  </si>
  <si>
    <t>https://www.amazon.com/gp/your-account/order-details/ref=gcf_b_bp_lpo_c_d_b_x?ie=UTF8&amp;orderID=112-6659429-2449863</t>
  </si>
  <si>
    <t>Hobby</t>
  </si>
  <si>
    <t>N</t>
  </si>
  <si>
    <t>Y</t>
  </si>
  <si>
    <t>Hot Air Gun</t>
  </si>
  <si>
    <t>https://www.amazon.com/gp/your-account/order-details/ref=gcf_b_bp_lpo_c_d_b_x?ie=UTF8&amp;orderID=112-5554504-5414623</t>
  </si>
  <si>
    <t>Socks</t>
  </si>
  <si>
    <t>https://www.amazon.com/gp/your-account/order-details/ref=gcf_b_bp_lpo_c_d_b_x?ie=UTF8&amp;orderID=112-4380161-4865043</t>
  </si>
  <si>
    <t>PCB materials</t>
  </si>
  <si>
    <t>https://www.amazon.com/gp/your-account/order-details/ref=gcf_b_bp_lpo_c_d_b_x?ie=UTF8&amp;orderID=111-5327976-9954621</t>
  </si>
  <si>
    <t>Book - Will</t>
  </si>
  <si>
    <t>https://www.amazon.com/gp/your-account/order-details/ref=gcf_b_bp_lpo_c_d_b_x?ie=UTF8&amp;orderID=D01-2629702-0883442</t>
  </si>
  <si>
    <t>Vitamins</t>
  </si>
  <si>
    <t>https://www.amazon.com/gp/your-account/order-details/ref=gcf_b_bp_lpo_c_d_b_x?ie=UTF8&amp;orderID=112-1073180-6210608</t>
  </si>
  <si>
    <t>Wood - Black Walnut</t>
  </si>
  <si>
    <t>https://www.amazon.com/gp/your-account/order-details/ref=gcf_b_bp_lpo_c_d_b_x?ie=UTF8&amp;orderID=114-2100474-9874626</t>
  </si>
  <si>
    <t>Wood - Maple</t>
  </si>
  <si>
    <t>https://www.amazon.com/gp/your-account/order-details/ref=gcf_b_bp_lpo_c_d_b_x?ie=UTF8&amp;orderID=112-2792042-0523436</t>
  </si>
  <si>
    <t>Threaded Inserts</t>
  </si>
  <si>
    <t>https://www.amazon.com/gp/your-account/order-details/ref=gcf_b_bp_lpo_c_d_b_x?ie=UTF8&amp;orderID=112-8024830-8572250</t>
  </si>
  <si>
    <t>https://www.amazon.com/gp/your-account/order-details/ref=gcf_b_bp_lpo_c_d_b_x?ie=UTF8&amp;orderID=112-0465195-3046620</t>
  </si>
  <si>
    <t>Drill &amp; Tap Set</t>
  </si>
  <si>
    <t>https://www.amazon.com/gp/your-account/order-details/ref=gcf_b_bp_lpo_c_d_b_x?ie=UTF8&amp;orderID=111-1213095-4253834</t>
  </si>
  <si>
    <t>Non-Hobby Charges</t>
  </si>
  <si>
    <t>Hobby Charges</t>
  </si>
  <si>
    <t>Hobby Chargable</t>
  </si>
  <si>
    <t>Current Balance</t>
  </si>
  <si>
    <t>Original</t>
  </si>
  <si>
    <t>Expiration Date</t>
  </si>
  <si>
    <t>https://member.uhc.com/earnrewards/marketplace/all-transactions?deeplink=true</t>
  </si>
  <si>
    <t>Updated</t>
  </si>
  <si>
    <t>100mm axis</t>
  </si>
  <si>
    <t>300mm axis</t>
  </si>
  <si>
    <t>Spindle &amp; VFD</t>
  </si>
  <si>
    <t>https://www.amazon.com/your-orders/order-details?orderID=111-3508743-2756267&amp;ref_=pe_125775000_1044873430_p_btn_fed_veo</t>
  </si>
  <si>
    <t>PWM -&gt; 0-10V Converter</t>
  </si>
  <si>
    <t>https://www.amazon.com/your-orders/order-details?orderID=111-1537822-3529001&amp;ref=ppx_yo2ov_dt_b_fed_order_details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</si>
</sst>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84A7-3450-41BF-B29C-1FFFD6403F67}">
  <dimension ref="A1:F39"/>
  <sheetViews>
    <sheetView tabSelected="1" zoomScale="85" zoomScaleNormal="85" workbookViewId="0">
      <selection activeCell="D30" sqref="D30"/>
    </sheetView>
  </sheetViews>
  <sheetFormatPr defaultRowHeight="15" x14ac:dyDescent="0.25"/>
  <cols>
    <col min="1" max="1" width="22.42578125" customWidth="1"/>
    <col min="2" max="2" width="15.28515625" customWidth="1"/>
    <col min="3" max="3" width="26" customWidth="1"/>
    <col min="4" max="4" width="14.28515625" customWidth="1"/>
    <col min="5" max="5" width="11.7109375" style="1" customWidth="1"/>
  </cols>
  <sheetData>
    <row r="1" spans="1:6" x14ac:dyDescent="0.25">
      <c r="A1" t="s">
        <v>0</v>
      </c>
    </row>
    <row r="3" spans="1:6" x14ac:dyDescent="0.25">
      <c r="A3" t="s">
        <v>5</v>
      </c>
      <c r="B3" s="2">
        <f>322.13+75</f>
        <v>397.13</v>
      </c>
    </row>
    <row r="4" spans="1:6" x14ac:dyDescent="0.25">
      <c r="A4" t="s">
        <v>34</v>
      </c>
      <c r="B4" s="2">
        <f>SUMIF(D10:D38,"N",B10:B39)</f>
        <v>77.27</v>
      </c>
    </row>
    <row r="5" spans="1:6" x14ac:dyDescent="0.25">
      <c r="A5" t="s">
        <v>35</v>
      </c>
      <c r="B5" s="2">
        <f>SUMIF(D10:D38,"Y",B10:B39)</f>
        <v>384.29</v>
      </c>
    </row>
    <row r="6" spans="1:6" x14ac:dyDescent="0.25">
      <c r="A6" t="s">
        <v>37</v>
      </c>
      <c r="B6" s="2">
        <f>B3-B4-B5</f>
        <v>-64.430000000000007</v>
      </c>
    </row>
    <row r="7" spans="1:6" x14ac:dyDescent="0.25">
      <c r="A7" t="s">
        <v>36</v>
      </c>
      <c r="B7" s="2">
        <f>B3-B5</f>
        <v>12.839999999999975</v>
      </c>
    </row>
    <row r="9" spans="1:6" x14ac:dyDescent="0.25">
      <c r="A9" t="s">
        <v>9</v>
      </c>
      <c r="B9" t="s">
        <v>2</v>
      </c>
      <c r="C9" t="s">
        <v>3</v>
      </c>
      <c r="D9" t="s">
        <v>12</v>
      </c>
      <c r="E9" s="1" t="s">
        <v>6</v>
      </c>
      <c r="F9" t="s">
        <v>4</v>
      </c>
    </row>
    <row r="10" spans="1:6" x14ac:dyDescent="0.25">
      <c r="A10" s="3">
        <f>B3-B10</f>
        <v>384.14</v>
      </c>
      <c r="B10" s="3">
        <v>12.99</v>
      </c>
      <c r="C10" t="s">
        <v>7</v>
      </c>
      <c r="D10" t="s">
        <v>13</v>
      </c>
      <c r="E10" s="1">
        <v>45737</v>
      </c>
      <c r="F10" t="s">
        <v>8</v>
      </c>
    </row>
    <row r="11" spans="1:6" x14ac:dyDescent="0.25">
      <c r="A11" s="3">
        <f>A10-B11</f>
        <v>370.91999999999996</v>
      </c>
      <c r="B11" s="3">
        <v>13.22</v>
      </c>
      <c r="C11" t="s">
        <v>10</v>
      </c>
      <c r="D11" t="s">
        <v>13</v>
      </c>
      <c r="E11" s="1">
        <v>45737</v>
      </c>
      <c r="F11" t="s">
        <v>11</v>
      </c>
    </row>
    <row r="12" spans="1:6" x14ac:dyDescent="0.25">
      <c r="A12" s="3">
        <f t="shared" ref="A12:A39" si="0">A11-B12</f>
        <v>312.93999999999994</v>
      </c>
      <c r="B12" s="3">
        <v>57.98</v>
      </c>
      <c r="C12" t="s">
        <v>15</v>
      </c>
      <c r="D12" t="s">
        <v>14</v>
      </c>
      <c r="E12" s="1">
        <v>45737</v>
      </c>
      <c r="F12" t="s">
        <v>16</v>
      </c>
    </row>
    <row r="13" spans="1:6" x14ac:dyDescent="0.25">
      <c r="A13" s="3">
        <f t="shared" si="0"/>
        <v>292.96999999999991</v>
      </c>
      <c r="B13" s="3">
        <v>19.97</v>
      </c>
      <c r="C13" t="s">
        <v>17</v>
      </c>
      <c r="D13" t="s">
        <v>13</v>
      </c>
      <c r="E13" s="1">
        <v>45738</v>
      </c>
      <c r="F13" t="s">
        <v>18</v>
      </c>
    </row>
    <row r="14" spans="1:6" x14ac:dyDescent="0.25">
      <c r="A14" s="3">
        <f t="shared" si="0"/>
        <v>274.4899999999999</v>
      </c>
      <c r="B14" s="3">
        <v>18.48</v>
      </c>
      <c r="C14" t="s">
        <v>19</v>
      </c>
      <c r="D14" t="s">
        <v>14</v>
      </c>
      <c r="E14" s="1">
        <v>45744</v>
      </c>
      <c r="F14" t="s">
        <v>20</v>
      </c>
    </row>
    <row r="15" spans="1:6" x14ac:dyDescent="0.25">
      <c r="A15" s="3">
        <f t="shared" si="0"/>
        <v>257.49999999999989</v>
      </c>
      <c r="B15" s="3">
        <v>16.989999999999998</v>
      </c>
      <c r="C15" t="s">
        <v>21</v>
      </c>
      <c r="D15" t="s">
        <v>13</v>
      </c>
      <c r="E15" s="1">
        <v>45973</v>
      </c>
      <c r="F15" t="s">
        <v>22</v>
      </c>
    </row>
    <row r="16" spans="1:6" x14ac:dyDescent="0.25">
      <c r="A16" s="3">
        <f t="shared" si="0"/>
        <v>243.39999999999989</v>
      </c>
      <c r="B16" s="3">
        <v>14.1</v>
      </c>
      <c r="C16" t="s">
        <v>23</v>
      </c>
      <c r="D16" t="s">
        <v>13</v>
      </c>
      <c r="E16" s="1">
        <v>45974</v>
      </c>
      <c r="F16" t="s">
        <v>24</v>
      </c>
    </row>
    <row r="17" spans="1:6" x14ac:dyDescent="0.25">
      <c r="A17" s="3">
        <f t="shared" si="0"/>
        <v>220.4499999999999</v>
      </c>
      <c r="B17" s="3">
        <v>22.95</v>
      </c>
      <c r="C17" t="s">
        <v>25</v>
      </c>
      <c r="D17" t="s">
        <v>14</v>
      </c>
      <c r="E17" s="1">
        <v>46013</v>
      </c>
      <c r="F17" t="s">
        <v>26</v>
      </c>
    </row>
    <row r="18" spans="1:6" x14ac:dyDescent="0.25">
      <c r="A18" s="3">
        <f t="shared" si="0"/>
        <v>204.49999999999991</v>
      </c>
      <c r="B18" s="3">
        <v>15.95</v>
      </c>
      <c r="C18" t="s">
        <v>27</v>
      </c>
      <c r="D18" t="s">
        <v>14</v>
      </c>
      <c r="E18" s="1">
        <v>46019</v>
      </c>
      <c r="F18" t="s">
        <v>28</v>
      </c>
    </row>
    <row r="19" spans="1:6" x14ac:dyDescent="0.25">
      <c r="A19" s="3">
        <f t="shared" si="0"/>
        <v>195.50999999999991</v>
      </c>
      <c r="B19" s="3">
        <v>8.99</v>
      </c>
      <c r="C19" t="s">
        <v>29</v>
      </c>
      <c r="D19" t="s">
        <v>14</v>
      </c>
      <c r="E19" s="1">
        <v>46022</v>
      </c>
      <c r="F19" t="s">
        <v>30</v>
      </c>
    </row>
    <row r="20" spans="1:6" x14ac:dyDescent="0.25">
      <c r="A20" s="3">
        <f t="shared" si="0"/>
        <v>180.20999999999989</v>
      </c>
      <c r="B20" s="3">
        <v>15.3</v>
      </c>
      <c r="C20" t="s">
        <v>27</v>
      </c>
      <c r="D20" t="s">
        <v>14</v>
      </c>
      <c r="E20" s="1">
        <v>37269</v>
      </c>
      <c r="F20" t="s">
        <v>31</v>
      </c>
    </row>
    <row r="21" spans="1:6" x14ac:dyDescent="0.25">
      <c r="A21" s="3">
        <f t="shared" si="0"/>
        <v>155.5199999999999</v>
      </c>
      <c r="B21" s="3">
        <v>24.69</v>
      </c>
      <c r="C21" t="s">
        <v>32</v>
      </c>
      <c r="D21" t="s">
        <v>14</v>
      </c>
      <c r="E21" s="1">
        <v>46039</v>
      </c>
      <c r="F21" t="s">
        <v>33</v>
      </c>
    </row>
    <row r="22" spans="1:6" x14ac:dyDescent="0.25">
      <c r="A22" s="3">
        <f t="shared" si="0"/>
        <v>-49.480000000000103</v>
      </c>
      <c r="B22" s="3">
        <v>205</v>
      </c>
      <c r="C22" t="s">
        <v>44</v>
      </c>
      <c r="D22" t="s">
        <v>14</v>
      </c>
      <c r="E22" s="1">
        <v>46041</v>
      </c>
      <c r="F22" t="s">
        <v>45</v>
      </c>
    </row>
    <row r="23" spans="1:6" x14ac:dyDescent="0.25">
      <c r="A23" s="3">
        <f t="shared" si="0"/>
        <v>-64.430000000000106</v>
      </c>
      <c r="B23" s="3">
        <v>14.95</v>
      </c>
      <c r="C23" t="s">
        <v>46</v>
      </c>
      <c r="D23" t="s">
        <v>14</v>
      </c>
      <c r="E23" s="1">
        <v>46041</v>
      </c>
      <c r="F23" t="s">
        <v>47</v>
      </c>
    </row>
    <row r="24" spans="1:6" x14ac:dyDescent="0.25">
      <c r="A24" s="3">
        <f t="shared" si="0"/>
        <v>-64.430000000000106</v>
      </c>
      <c r="B24" s="3"/>
    </row>
    <row r="25" spans="1:6" x14ac:dyDescent="0.25">
      <c r="A25" s="3">
        <f t="shared" si="0"/>
        <v>-64.430000000000106</v>
      </c>
      <c r="B25" s="3"/>
    </row>
    <row r="26" spans="1:6" x14ac:dyDescent="0.25">
      <c r="A26" s="3">
        <f t="shared" si="0"/>
        <v>-64.430000000000106</v>
      </c>
      <c r="B26" s="3"/>
    </row>
    <row r="27" spans="1:6" x14ac:dyDescent="0.25">
      <c r="A27" s="3">
        <f t="shared" si="0"/>
        <v>-64.430000000000106</v>
      </c>
      <c r="B27" s="3"/>
    </row>
    <row r="28" spans="1:6" x14ac:dyDescent="0.25">
      <c r="A28" s="3">
        <f t="shared" si="0"/>
        <v>-64.430000000000106</v>
      </c>
      <c r="B28" s="3"/>
    </row>
    <row r="29" spans="1:6" x14ac:dyDescent="0.25">
      <c r="A29" s="3">
        <f t="shared" si="0"/>
        <v>-64.430000000000106</v>
      </c>
      <c r="B29" s="3"/>
    </row>
    <row r="30" spans="1:6" x14ac:dyDescent="0.25">
      <c r="A30" s="3">
        <f t="shared" si="0"/>
        <v>-64.430000000000106</v>
      </c>
      <c r="B30" s="3"/>
    </row>
    <row r="31" spans="1:6" x14ac:dyDescent="0.25">
      <c r="A31" s="3">
        <f t="shared" si="0"/>
        <v>-64.430000000000106</v>
      </c>
      <c r="B31" s="3"/>
    </row>
    <row r="32" spans="1:6" x14ac:dyDescent="0.25">
      <c r="A32" s="3">
        <f t="shared" si="0"/>
        <v>-64.430000000000106</v>
      </c>
      <c r="B32" s="3"/>
    </row>
    <row r="33" spans="1:2" x14ac:dyDescent="0.25">
      <c r="A33" s="3">
        <f t="shared" si="0"/>
        <v>-64.430000000000106</v>
      </c>
      <c r="B33" s="3"/>
    </row>
    <row r="34" spans="1:2" x14ac:dyDescent="0.25">
      <c r="A34" s="3">
        <f t="shared" si="0"/>
        <v>-64.430000000000106</v>
      </c>
      <c r="B34" s="3"/>
    </row>
    <row r="35" spans="1:2" x14ac:dyDescent="0.25">
      <c r="A35" s="3">
        <f t="shared" si="0"/>
        <v>-64.430000000000106</v>
      </c>
      <c r="B35" s="3"/>
    </row>
    <row r="36" spans="1:2" x14ac:dyDescent="0.25">
      <c r="A36" s="3">
        <f t="shared" si="0"/>
        <v>-64.430000000000106</v>
      </c>
      <c r="B36" s="3"/>
    </row>
    <row r="37" spans="1:2" x14ac:dyDescent="0.25">
      <c r="A37" s="3">
        <f t="shared" si="0"/>
        <v>-64.430000000000106</v>
      </c>
      <c r="B37" s="3"/>
    </row>
    <row r="38" spans="1:2" x14ac:dyDescent="0.25">
      <c r="A38" s="3">
        <f t="shared" si="0"/>
        <v>-64.430000000000106</v>
      </c>
      <c r="B38" s="3"/>
    </row>
    <row r="39" spans="1:2" x14ac:dyDescent="0.25">
      <c r="A39" s="3">
        <f t="shared" si="0"/>
        <v>-64.430000000000106</v>
      </c>
      <c r="B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43BD-B8DB-4F4D-9E8D-643881AD947A}">
  <dimension ref="A1:E11"/>
  <sheetViews>
    <sheetView workbookViewId="0">
      <selection activeCell="B6" sqref="B6"/>
    </sheetView>
  </sheetViews>
  <sheetFormatPr defaultRowHeight="15" x14ac:dyDescent="0.25"/>
  <cols>
    <col min="2" max="2" width="9" bestFit="1" customWidth="1"/>
    <col min="3" max="3" width="14.42578125" bestFit="1" customWidth="1"/>
    <col min="4" max="4" width="9.42578125" bestFit="1" customWidth="1"/>
  </cols>
  <sheetData>
    <row r="1" spans="1:5" x14ac:dyDescent="0.25">
      <c r="A1" t="s">
        <v>40</v>
      </c>
    </row>
    <row r="3" spans="1:5" x14ac:dyDescent="0.25">
      <c r="A3" t="s">
        <v>38</v>
      </c>
      <c r="B3" t="s">
        <v>1</v>
      </c>
      <c r="C3" t="s">
        <v>39</v>
      </c>
      <c r="D3" t="s">
        <v>41</v>
      </c>
    </row>
    <row r="4" spans="1:5" x14ac:dyDescent="0.25">
      <c r="A4" s="2">
        <v>12.5</v>
      </c>
      <c r="B4" s="2">
        <v>10</v>
      </c>
      <c r="C4" s="1">
        <v>47453</v>
      </c>
      <c r="D4" s="1">
        <v>46040</v>
      </c>
    </row>
    <row r="5" spans="1:5" x14ac:dyDescent="0.25">
      <c r="A5" s="2">
        <v>200</v>
      </c>
      <c r="B5" s="2">
        <v>4.12</v>
      </c>
      <c r="C5" s="1">
        <v>47818</v>
      </c>
      <c r="D5" s="1">
        <v>46040</v>
      </c>
      <c r="E5" t="s">
        <v>43</v>
      </c>
    </row>
    <row r="6" spans="1:5" x14ac:dyDescent="0.25">
      <c r="A6" s="2">
        <v>100</v>
      </c>
      <c r="B6" s="2">
        <v>17.79</v>
      </c>
      <c r="C6" s="1">
        <v>47849</v>
      </c>
      <c r="D6" s="1">
        <v>46040</v>
      </c>
      <c r="E6" t="s">
        <v>42</v>
      </c>
    </row>
    <row r="7" spans="1:5" x14ac:dyDescent="0.25">
      <c r="A7" s="2"/>
      <c r="B7" s="2"/>
      <c r="C7" s="1"/>
    </row>
    <row r="8" spans="1:5" x14ac:dyDescent="0.25">
      <c r="A8" s="2"/>
      <c r="B8" s="2"/>
      <c r="C8" s="1"/>
    </row>
    <row r="9" spans="1:5" x14ac:dyDescent="0.25">
      <c r="A9" s="2"/>
      <c r="B9" s="2"/>
      <c r="C9" s="1"/>
    </row>
    <row r="10" spans="1:5" x14ac:dyDescent="0.25">
      <c r="A10" s="2"/>
      <c r="B10" s="2"/>
    </row>
    <row r="11" spans="1:5" x14ac:dyDescent="0.25">
      <c r="A11" s="2"/>
      <c r="B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</vt:lpstr>
      <vt:lpstr>VISA Gift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Harriman</dc:creator>
  <cp:lastModifiedBy>Doug Harriman</cp:lastModifiedBy>
  <dcterms:created xsi:type="dcterms:W3CDTF">2026-01-18T21:17:52Z</dcterms:created>
  <dcterms:modified xsi:type="dcterms:W3CDTF">2026-01-20T00:06:17Z</dcterms:modified>
</cp:coreProperties>
</file>